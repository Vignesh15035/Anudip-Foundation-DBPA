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vicky Excel files\"/>
    </mc:Choice>
  </mc:AlternateContent>
  <bookViews>
    <workbookView xWindow="0" yWindow="0" windowWidth="20490" windowHeight="7530" activeTab="1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</calcChain>
</file>

<file path=xl/sharedStrings.xml><?xml version="1.0" encoding="utf-8"?>
<sst xmlns="http://schemas.openxmlformats.org/spreadsheetml/2006/main" count="51" uniqueCount="35">
  <si>
    <t>S.NO</t>
  </si>
  <si>
    <t>Candidate Name</t>
  </si>
  <si>
    <t>Age</t>
  </si>
  <si>
    <t>Degree</t>
  </si>
  <si>
    <t>Experience</t>
  </si>
  <si>
    <t>Passing  Year</t>
  </si>
  <si>
    <t>Vignesh</t>
  </si>
  <si>
    <t>Arun</t>
  </si>
  <si>
    <t>Pursoth</t>
  </si>
  <si>
    <t>Naveen</t>
  </si>
  <si>
    <t>Dinesh</t>
  </si>
  <si>
    <t>Arjun</t>
  </si>
  <si>
    <t>Ramesh</t>
  </si>
  <si>
    <t>Sanjay</t>
  </si>
  <si>
    <t>Jeeva</t>
  </si>
  <si>
    <t>Vijay</t>
  </si>
  <si>
    <t>Jenifer</t>
  </si>
  <si>
    <t>Suba</t>
  </si>
  <si>
    <t>Sabari</t>
  </si>
  <si>
    <t>Riya</t>
  </si>
  <si>
    <t>Santhosh</t>
  </si>
  <si>
    <t>Rohan</t>
  </si>
  <si>
    <t>Gopika</t>
  </si>
  <si>
    <t>Ravi</t>
  </si>
  <si>
    <t>Hari</t>
  </si>
  <si>
    <t>Dena</t>
  </si>
  <si>
    <t>MCA</t>
  </si>
  <si>
    <t>BSC</t>
  </si>
  <si>
    <t>B.COM</t>
  </si>
  <si>
    <t>BCA</t>
  </si>
  <si>
    <t>M.COM</t>
  </si>
  <si>
    <t>Remarks</t>
  </si>
  <si>
    <t>Accepted</t>
  </si>
  <si>
    <t>Rejected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</si>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</sst>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Bahnschrift SemiBold SemiConden"/>
      <family val="2"/>
    </font>
    <font>
      <b/>
      <sz val="11"/>
      <color theme="1"/>
      <name val="Calibri"/>
      <family val="2"/>
      <scheme val="minor"/>
    </font>
    <font>
      <sz val="11"/>
      <color theme="1"/>
      <name val="Bahnschrift SemiBold SemiConden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0" borderId="0" xfId="0" applyFont="1" applyFill="1"/>
    <xf numFmtId="0" fontId="0" fillId="4" borderId="0" xfId="0" applyFill="1"/>
    <xf numFmtId="0" fontId="0" fillId="0" borderId="0" xfId="0" applyFill="1" applyAlignment="1"/>
    <xf numFmtId="0" fontId="3" fillId="0" borderId="0" xfId="0" applyFont="1" applyFill="1" applyAlignment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0" borderId="0" xfId="0" applyFont="1" applyFill="1"/>
  </cellXfs>
  <cellStyles count="1">
    <cellStyle name="Normal" xfId="0" builtinId="0"/>
  </cellStyles>
  <dxfs count="4">
    <dxf>
      <fill>
        <patternFill patternType="solid">
          <fgColor auto="1"/>
          <bgColor rgb="FF92D050"/>
        </patternFill>
      </fill>
    </dxf>
    <dxf>
      <fill>
        <patternFill>
          <bgColor rgb="FFFF0000"/>
        </patternFill>
      </fill>
    </dxf>
    <dxf>
      <fill>
        <patternFill patternType="solid">
          <fgColor auto="1"/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Candidate Status</a:t>
            </a:r>
          </a:p>
        </c:rich>
      </c:tx>
      <c:layout/>
      <c:overlay val="0"/>
      <c:spPr>
        <a:solidFill>
          <a:schemeClr val="bg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Sheet1!$K$2</c:f>
              <c:strCache>
                <c:ptCount val="1"/>
                <c:pt idx="0">
                  <c:v>Count</c:v>
                </c:pt>
              </c:strCache>
            </c:strRef>
          </c:tx>
          <c:spPr>
            <a:pattFill prst="narHorz">
              <a:fgClr>
                <a:schemeClr val="dk1">
                  <a:tint val="88500"/>
                </a:schemeClr>
              </a:fgClr>
              <a:bgClr>
                <a:schemeClr val="dk1">
                  <a:tint val="885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dk1">
                  <a:tint val="88500"/>
                </a:schemeClr>
              </a:inn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innerShdw blurRad="114300">
                  <a:schemeClr val="dk1">
                    <a:tint val="885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1EFD-4B92-AFAE-243335F24E33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innerShdw blurRad="114300">
                  <a:schemeClr val="dk1">
                    <a:tint val="885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1EFD-4B92-AFAE-243335F24E33}"/>
              </c:ext>
            </c:extLst>
          </c:dPt>
          <c:cat>
            <c:strRef>
              <c:f>Sheet1!$J$3:$J$4</c:f>
              <c:strCache>
                <c:ptCount val="2"/>
                <c:pt idx="0">
                  <c:v>Accepted</c:v>
                </c:pt>
                <c:pt idx="1">
                  <c:v>Rejected</c:v>
                </c:pt>
              </c:strCache>
            </c:strRef>
          </c:cat>
          <c:val>
            <c:numRef>
              <c:f>Sheet1!$K$3:$K$4</c:f>
              <c:numCache>
                <c:formatCode>General</c:formatCode>
                <c:ptCount val="2"/>
                <c:pt idx="0">
                  <c:v>5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FD-4B92-AFAE-243335F24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579521488"/>
        <c:axId val="579522320"/>
      </c:barChart>
      <c:catAx>
        <c:axId val="57952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522320"/>
        <c:crosses val="autoZero"/>
        <c:auto val="1"/>
        <c:lblAlgn val="ctr"/>
        <c:lblOffset val="100"/>
        <c:noMultiLvlLbl val="0"/>
      </c:catAx>
      <c:valAx>
        <c:axId val="579522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5214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600075</xdr:colOff>
      <xdr:row>7</xdr:row>
      <xdr:rowOff>76200</xdr:rowOff>
    </xdr:from>
    <xdr:to>
      <xdr:col>12</xdr:col>
      <xdr:colOff>104775</xdr:colOff>
      <xdr:row>21</xdr:row>
      <xdr:rowOff>152400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" sqref="A3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abSelected="1" workbookViewId="0">
      <selection activeCell="N3" sqref="N3"/>
    </sheetView>
  </sheetViews>
  <sheetFormatPr defaultRowHeight="15" x14ac:dyDescent="0.25"/>
  <cols>
    <col min="1" max="1" width="8.85546875" customWidth="1"/>
    <col min="2" max="2" width="16.28515625" customWidth="1"/>
    <col min="5" max="5" width="11.5703125" customWidth="1"/>
    <col min="6" max="6" width="13.28515625" customWidth="1"/>
    <col min="7" max="7" width="12.7109375" customWidth="1"/>
    <col min="9" max="9" width="20.7109375" customWidth="1"/>
    <col min="10" max="10" width="18.28515625" customWidth="1"/>
    <col min="11" max="11" width="18.7109375" customWidth="1"/>
  </cols>
  <sheetData>
    <row r="1" spans="1:11" x14ac:dyDescent="0.25">
      <c r="J1" s="6"/>
    </row>
    <row r="2" spans="1:1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31</v>
      </c>
      <c r="I2" s="8"/>
      <c r="J2" s="7" t="s">
        <v>31</v>
      </c>
      <c r="K2" s="11" t="s">
        <v>34</v>
      </c>
    </row>
    <row r="3" spans="1:11" x14ac:dyDescent="0.25">
      <c r="A3" s="2">
        <v>1</v>
      </c>
      <c r="B3" s="2" t="s">
        <v>6</v>
      </c>
      <c r="C3" s="2">
        <v>21</v>
      </c>
      <c r="D3" s="2" t="s">
        <v>26</v>
      </c>
      <c r="E3" s="2">
        <v>2</v>
      </c>
      <c r="F3" s="2">
        <v>2025</v>
      </c>
      <c r="G3" s="1" t="str">
        <f>IF(AND(C2&gt;=20,C2&lt;=40,OR(D2="MCA",D2="BSC",D2="BCA"),E2&gt;=1,E2&lt;=4,F2&gt;=2024,F2&lt;=2025),"Accepted","Rejected")</f>
        <v>Rejected</v>
      </c>
      <c r="I3" s="8"/>
      <c r="J3" s="9" t="s">
        <v>32</v>
      </c>
      <c r="K3" s="10">
        <f>COUNTIF(G:G,"Accepted")</f>
        <v>5</v>
      </c>
    </row>
    <row r="4" spans="1:11" x14ac:dyDescent="0.25">
      <c r="A4" s="2">
        <v>2</v>
      </c>
      <c r="B4" s="2" t="s">
        <v>7</v>
      </c>
      <c r="C4" s="2">
        <v>24</v>
      </c>
      <c r="D4" s="2" t="s">
        <v>27</v>
      </c>
      <c r="E4" s="2">
        <v>1</v>
      </c>
      <c r="F4" s="2">
        <v>2023</v>
      </c>
      <c r="G4" s="1" t="str">
        <f t="shared" ref="G4:G22" si="0">IF(AND(C3&gt;=20,C3&lt;=40,OR(D3="MCA",D3="BSC",D3="BCA"),E3&gt;=1,E3&lt;=4,F3&gt;=2024,F3&lt;=2025),"Accepted","Rejected")</f>
        <v>Accepted</v>
      </c>
      <c r="I4" s="8"/>
      <c r="J4" s="5" t="s">
        <v>33</v>
      </c>
      <c r="K4" s="5">
        <f>COUNTIF(G:G,"Rejected")</f>
        <v>15</v>
      </c>
    </row>
    <row r="5" spans="1:11" x14ac:dyDescent="0.25">
      <c r="A5" s="2">
        <v>3</v>
      </c>
      <c r="B5" s="2" t="s">
        <v>8</v>
      </c>
      <c r="C5" s="2">
        <v>27</v>
      </c>
      <c r="D5" s="2" t="s">
        <v>28</v>
      </c>
      <c r="E5" s="2">
        <v>1</v>
      </c>
      <c r="F5" s="2">
        <v>2023</v>
      </c>
      <c r="G5" s="1" t="str">
        <f t="shared" si="0"/>
        <v>Rejected</v>
      </c>
    </row>
    <row r="6" spans="1:11" x14ac:dyDescent="0.25">
      <c r="A6" s="2">
        <v>4</v>
      </c>
      <c r="B6" s="2" t="s">
        <v>9</v>
      </c>
      <c r="C6" s="2">
        <v>30</v>
      </c>
      <c r="D6" s="2" t="s">
        <v>29</v>
      </c>
      <c r="E6" s="2">
        <v>4</v>
      </c>
      <c r="F6" s="2">
        <v>2024</v>
      </c>
      <c r="G6" s="1" t="str">
        <f t="shared" si="0"/>
        <v>Rejected</v>
      </c>
    </row>
    <row r="7" spans="1:11" x14ac:dyDescent="0.25">
      <c r="A7" s="2">
        <v>5</v>
      </c>
      <c r="B7" s="2" t="s">
        <v>10</v>
      </c>
      <c r="C7" s="2">
        <v>26</v>
      </c>
      <c r="D7" s="2" t="s">
        <v>29</v>
      </c>
      <c r="E7" s="2">
        <v>4</v>
      </c>
      <c r="F7" s="2">
        <v>2022</v>
      </c>
      <c r="G7" s="1" t="str">
        <f t="shared" si="0"/>
        <v>Accepted</v>
      </c>
    </row>
    <row r="8" spans="1:11" x14ac:dyDescent="0.25">
      <c r="A8" s="2">
        <v>6</v>
      </c>
      <c r="B8" s="2" t="s">
        <v>11</v>
      </c>
      <c r="C8" s="2">
        <v>32</v>
      </c>
      <c r="D8" s="2" t="s">
        <v>30</v>
      </c>
      <c r="E8" s="2">
        <v>0</v>
      </c>
      <c r="F8" s="2">
        <v>2024</v>
      </c>
      <c r="G8" s="1" t="str">
        <f t="shared" si="0"/>
        <v>Rejected</v>
      </c>
    </row>
    <row r="9" spans="1:11" x14ac:dyDescent="0.25">
      <c r="A9" s="2">
        <v>7</v>
      </c>
      <c r="B9" s="2" t="s">
        <v>12</v>
      </c>
      <c r="C9" s="2">
        <v>30</v>
      </c>
      <c r="D9" s="2" t="s">
        <v>26</v>
      </c>
      <c r="E9" s="2">
        <v>5</v>
      </c>
      <c r="F9" s="2">
        <v>2020</v>
      </c>
      <c r="G9" s="1" t="str">
        <f t="shared" si="0"/>
        <v>Rejected</v>
      </c>
    </row>
    <row r="10" spans="1:11" x14ac:dyDescent="0.25">
      <c r="A10" s="2">
        <v>8</v>
      </c>
      <c r="B10" s="2" t="s">
        <v>13</v>
      </c>
      <c r="C10" s="2">
        <v>32</v>
      </c>
      <c r="D10" s="2" t="s">
        <v>27</v>
      </c>
      <c r="E10" s="2">
        <v>4</v>
      </c>
      <c r="F10" s="2">
        <v>2024</v>
      </c>
      <c r="G10" s="1" t="str">
        <f t="shared" si="0"/>
        <v>Rejected</v>
      </c>
    </row>
    <row r="11" spans="1:11" x14ac:dyDescent="0.25">
      <c r="A11" s="2">
        <v>9</v>
      </c>
      <c r="B11" s="2" t="s">
        <v>14</v>
      </c>
      <c r="C11" s="2">
        <v>32</v>
      </c>
      <c r="D11" s="2" t="s">
        <v>27</v>
      </c>
      <c r="E11" s="2">
        <v>5</v>
      </c>
      <c r="F11" s="2">
        <v>2024</v>
      </c>
      <c r="G11" s="1" t="str">
        <f t="shared" si="0"/>
        <v>Accepted</v>
      </c>
    </row>
    <row r="12" spans="1:11" x14ac:dyDescent="0.25">
      <c r="A12" s="2">
        <v>10</v>
      </c>
      <c r="B12" s="2" t="s">
        <v>15</v>
      </c>
      <c r="C12" s="2">
        <v>30</v>
      </c>
      <c r="D12" s="2" t="s">
        <v>29</v>
      </c>
      <c r="E12" s="2">
        <v>1</v>
      </c>
      <c r="F12" s="2">
        <v>2025</v>
      </c>
      <c r="G12" s="1" t="str">
        <f t="shared" si="0"/>
        <v>Rejected</v>
      </c>
    </row>
    <row r="13" spans="1:11" x14ac:dyDescent="0.25">
      <c r="A13" s="2">
        <v>11</v>
      </c>
      <c r="B13" s="2" t="s">
        <v>16</v>
      </c>
      <c r="C13" s="2">
        <v>21</v>
      </c>
      <c r="D13" s="2" t="s">
        <v>30</v>
      </c>
      <c r="E13" s="2">
        <v>4</v>
      </c>
      <c r="F13" s="2">
        <v>2023</v>
      </c>
      <c r="G13" s="1" t="str">
        <f t="shared" si="0"/>
        <v>Accepted</v>
      </c>
    </row>
    <row r="14" spans="1:11" x14ac:dyDescent="0.25">
      <c r="A14" s="2">
        <v>12</v>
      </c>
      <c r="B14" s="2" t="s">
        <v>17</v>
      </c>
      <c r="C14" s="2">
        <v>38</v>
      </c>
      <c r="D14" s="2" t="s">
        <v>27</v>
      </c>
      <c r="E14" s="2">
        <v>0</v>
      </c>
      <c r="F14" s="2">
        <v>2025</v>
      </c>
      <c r="G14" s="1" t="str">
        <f t="shared" si="0"/>
        <v>Rejected</v>
      </c>
    </row>
    <row r="15" spans="1:11" x14ac:dyDescent="0.25">
      <c r="A15" s="2">
        <v>13</v>
      </c>
      <c r="B15" s="2" t="s">
        <v>18</v>
      </c>
      <c r="C15" s="2">
        <v>25</v>
      </c>
      <c r="D15" s="2" t="s">
        <v>29</v>
      </c>
      <c r="E15" s="2">
        <v>2</v>
      </c>
      <c r="F15" s="2">
        <v>2028</v>
      </c>
      <c r="G15" s="1" t="str">
        <f t="shared" si="0"/>
        <v>Rejected</v>
      </c>
    </row>
    <row r="16" spans="1:11" x14ac:dyDescent="0.25">
      <c r="A16" s="2">
        <v>14</v>
      </c>
      <c r="B16" s="2" t="s">
        <v>19</v>
      </c>
      <c r="C16" s="2">
        <v>21</v>
      </c>
      <c r="D16" s="2" t="s">
        <v>26</v>
      </c>
      <c r="E16" s="2">
        <v>2</v>
      </c>
      <c r="F16" s="2">
        <v>2025</v>
      </c>
      <c r="G16" s="1" t="str">
        <f t="shared" si="0"/>
        <v>Rejected</v>
      </c>
    </row>
    <row r="17" spans="1:7" x14ac:dyDescent="0.25">
      <c r="A17" s="2">
        <v>15</v>
      </c>
      <c r="B17" s="2" t="s">
        <v>20</v>
      </c>
      <c r="C17" s="2">
        <v>22</v>
      </c>
      <c r="D17" s="2" t="s">
        <v>28</v>
      </c>
      <c r="E17" s="2">
        <v>3</v>
      </c>
      <c r="F17" s="2">
        <v>2019</v>
      </c>
      <c r="G17" s="1" t="str">
        <f t="shared" si="0"/>
        <v>Accepted</v>
      </c>
    </row>
    <row r="18" spans="1:7" x14ac:dyDescent="0.25">
      <c r="A18" s="2">
        <v>16</v>
      </c>
      <c r="B18" s="2" t="s">
        <v>21</v>
      </c>
      <c r="C18" s="2">
        <v>22</v>
      </c>
      <c r="D18" s="2" t="s">
        <v>30</v>
      </c>
      <c r="E18" s="2">
        <v>4</v>
      </c>
      <c r="F18" s="2">
        <v>2020</v>
      </c>
      <c r="G18" s="1" t="str">
        <f t="shared" si="0"/>
        <v>Rejected</v>
      </c>
    </row>
    <row r="19" spans="1:7" x14ac:dyDescent="0.25">
      <c r="A19" s="2">
        <v>17</v>
      </c>
      <c r="B19" s="2" t="s">
        <v>22</v>
      </c>
      <c r="C19" s="2">
        <v>28</v>
      </c>
      <c r="D19" s="2" t="s">
        <v>27</v>
      </c>
      <c r="E19" s="2">
        <v>7</v>
      </c>
      <c r="F19" s="2">
        <v>2025</v>
      </c>
      <c r="G19" s="1" t="str">
        <f t="shared" si="0"/>
        <v>Rejected</v>
      </c>
    </row>
    <row r="20" spans="1:7" x14ac:dyDescent="0.25">
      <c r="A20" s="2">
        <v>18</v>
      </c>
      <c r="B20" s="2" t="s">
        <v>23</v>
      </c>
      <c r="C20" s="2">
        <v>37</v>
      </c>
      <c r="D20" s="2" t="s">
        <v>26</v>
      </c>
      <c r="E20" s="2">
        <v>4</v>
      </c>
      <c r="F20" s="2">
        <v>2020</v>
      </c>
      <c r="G20" s="1" t="str">
        <f t="shared" si="0"/>
        <v>Rejected</v>
      </c>
    </row>
    <row r="21" spans="1:7" x14ac:dyDescent="0.25">
      <c r="A21" s="2">
        <v>19</v>
      </c>
      <c r="B21" s="2" t="s">
        <v>24</v>
      </c>
      <c r="C21" s="2">
        <v>36</v>
      </c>
      <c r="D21" s="2" t="s">
        <v>26</v>
      </c>
      <c r="E21" s="2">
        <v>0</v>
      </c>
      <c r="F21" s="2">
        <v>2024</v>
      </c>
      <c r="G21" s="1" t="str">
        <f t="shared" si="0"/>
        <v>Rejected</v>
      </c>
    </row>
    <row r="22" spans="1:7" x14ac:dyDescent="0.25">
      <c r="A22" s="2">
        <v>20</v>
      </c>
      <c r="B22" s="2" t="s">
        <v>25</v>
      </c>
      <c r="C22" s="2">
        <v>28</v>
      </c>
      <c r="D22" s="2" t="s">
        <v>27</v>
      </c>
      <c r="E22" s="2">
        <v>0</v>
      </c>
      <c r="F22" s="2">
        <v>2025</v>
      </c>
      <c r="G22" s="1" t="str">
        <f t="shared" si="0"/>
        <v>Rejected</v>
      </c>
    </row>
    <row r="23" spans="1:7" x14ac:dyDescent="0.25">
      <c r="G23" s="4"/>
    </row>
    <row r="24" spans="1:7" x14ac:dyDescent="0.25">
      <c r="G24" s="4"/>
    </row>
    <row r="25" spans="1:7" x14ac:dyDescent="0.25">
      <c r="B25" s="7"/>
      <c r="G25" s="4"/>
    </row>
    <row r="26" spans="1:7" x14ac:dyDescent="0.25">
      <c r="B26" s="6"/>
      <c r="G26" s="4"/>
    </row>
    <row r="27" spans="1:7" x14ac:dyDescent="0.25">
      <c r="G27" s="4"/>
    </row>
    <row r="28" spans="1:7" x14ac:dyDescent="0.25">
      <c r="G28" s="4"/>
    </row>
    <row r="29" spans="1:7" x14ac:dyDescent="0.25">
      <c r="G29" s="4"/>
    </row>
    <row r="30" spans="1:7" x14ac:dyDescent="0.25">
      <c r="G30" s="4"/>
    </row>
    <row r="31" spans="1:7" x14ac:dyDescent="0.25">
      <c r="G31" s="4"/>
    </row>
    <row r="32" spans="1:7" x14ac:dyDescent="0.25">
      <c r="G32" s="4"/>
    </row>
    <row r="33" spans="7:7" x14ac:dyDescent="0.25">
      <c r="G33" s="4"/>
    </row>
    <row r="34" spans="7:7" x14ac:dyDescent="0.25">
      <c r="G34" s="4"/>
    </row>
    <row r="35" spans="7:7" x14ac:dyDescent="0.25">
      <c r="G35" s="4"/>
    </row>
    <row r="36" spans="7:7" x14ac:dyDescent="0.25">
      <c r="G36" s="4"/>
    </row>
    <row r="37" spans="7:7" x14ac:dyDescent="0.25">
      <c r="G37" s="4"/>
    </row>
    <row r="38" spans="7:7" x14ac:dyDescent="0.25">
      <c r="G38" s="4"/>
    </row>
    <row r="39" spans="7:7" x14ac:dyDescent="0.25">
      <c r="G39" s="4"/>
    </row>
    <row r="40" spans="7:7" x14ac:dyDescent="0.25">
      <c r="G40" s="4"/>
    </row>
    <row r="41" spans="7:7" x14ac:dyDescent="0.25">
      <c r="G41" s="4"/>
    </row>
    <row r="42" spans="7:7" x14ac:dyDescent="0.25">
      <c r="G42" s="4"/>
    </row>
    <row r="43" spans="7:7" x14ac:dyDescent="0.25">
      <c r="G43" s="4"/>
    </row>
    <row r="44" spans="7:7" x14ac:dyDescent="0.25">
      <c r="G44" s="4"/>
    </row>
  </sheetData>
  <conditionalFormatting sqref="G2:G44 J2">
    <cfRule type="containsText" dxfId="3" priority="3" operator="containsText" text="Rejected">
      <formula>NOT(ISERROR(SEARCH("Rejected",G2)))</formula>
    </cfRule>
    <cfRule type="containsText" dxfId="2" priority="4" operator="containsText" text="Accepted">
      <formula>NOT(ISERROR(SEARCH("Accepted",G2)))</formula>
    </cfRule>
  </conditionalFormatting>
  <conditionalFormatting sqref="B25">
    <cfRule type="containsText" dxfId="1" priority="1" operator="containsText" text="Rejected">
      <formula>NOT(ISERROR(SEARCH("Rejected",B25)))</formula>
    </cfRule>
    <cfRule type="containsText" dxfId="0" priority="2" operator="containsText" text="Accepted">
      <formula>NOT(ISERROR(SEARCH("Accepted",B25)))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DINESH</cp:lastModifiedBy>
  <dcterms:created xsi:type="dcterms:W3CDTF">2025-12-13T14:54:34Z</dcterms:created>
  <dcterms:modified xsi:type="dcterms:W3CDTF">2025-12-15T03:44:25Z</dcterms:modified>
</cp:coreProperties>
</file>